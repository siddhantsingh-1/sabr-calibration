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ily\Dropbox\_Chung\NYU MSFE\FIXED INCOME OTC MARKET MAKING\SABR\"/>
    </mc:Choice>
  </mc:AlternateContent>
  <xr:revisionPtr revIDLastSave="0" documentId="13_ncr:1_{0207F9A3-904B-4ABC-9FFF-EC0790528E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ample- Norm SABR 1Y10Y" sheetId="1" r:id="rId1"/>
    <sheet name="Inputs" sheetId="2" r:id="rId2"/>
  </sheets>
  <definedNames>
    <definedName name="solver_adj" localSheetId="0" hidden="1">'Example- Norm SABR 1Y10Y'!$D$3:$D$5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'Example- Norm SABR 1Y10Y'!$D$3</definedName>
    <definedName name="solver_lhs2" localSheetId="0" hidden="1">'Example- Norm SABR 1Y10Y'!$D$5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'Example- Norm SABR 1Y10Y'!$D$18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hs1" localSheetId="0" hidden="1">0.3%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59" i="2"/>
  <c r="F59" i="2"/>
  <c r="G59" i="2"/>
  <c r="H59" i="2"/>
  <c r="D60" i="2"/>
  <c r="E60" i="2"/>
  <c r="F60" i="2"/>
  <c r="G60" i="2"/>
  <c r="H60" i="2"/>
  <c r="D61" i="2"/>
  <c r="E61" i="2"/>
  <c r="F61" i="2"/>
  <c r="G61" i="2"/>
  <c r="H61" i="2"/>
  <c r="D62" i="2"/>
  <c r="E62" i="2"/>
  <c r="F62" i="2"/>
  <c r="G62" i="2"/>
  <c r="H62" i="2"/>
  <c r="D63" i="2"/>
  <c r="E63" i="2"/>
  <c r="F63" i="2"/>
  <c r="G63" i="2"/>
  <c r="H63" i="2"/>
  <c r="D64" i="2"/>
  <c r="E64" i="2"/>
  <c r="F64" i="2"/>
  <c r="G64" i="2"/>
  <c r="H64" i="2"/>
  <c r="E58" i="2"/>
  <c r="F58" i="2"/>
  <c r="G58" i="2"/>
  <c r="H58" i="2"/>
  <c r="D58" i="2"/>
  <c r="D50" i="2"/>
  <c r="E50" i="2"/>
  <c r="F50" i="2"/>
  <c r="G50" i="2"/>
  <c r="H50" i="2"/>
  <c r="D51" i="2"/>
  <c r="E51" i="2"/>
  <c r="F51" i="2"/>
  <c r="G51" i="2"/>
  <c r="H51" i="2"/>
  <c r="D52" i="2"/>
  <c r="E52" i="2"/>
  <c r="F52" i="2"/>
  <c r="G52" i="2"/>
  <c r="H52" i="2"/>
  <c r="D53" i="2"/>
  <c r="E53" i="2"/>
  <c r="F53" i="2"/>
  <c r="G53" i="2"/>
  <c r="H53" i="2"/>
  <c r="D54" i="2"/>
  <c r="E54" i="2"/>
  <c r="F54" i="2"/>
  <c r="G54" i="2"/>
  <c r="H54" i="2"/>
  <c r="D55" i="2"/>
  <c r="E55" i="2"/>
  <c r="F55" i="2"/>
  <c r="G55" i="2"/>
  <c r="H55" i="2"/>
  <c r="E49" i="2"/>
  <c r="F49" i="2"/>
  <c r="G49" i="2"/>
  <c r="H49" i="2"/>
  <c r="D49" i="2"/>
  <c r="H8" i="2" l="1"/>
  <c r="H17" i="2" s="1"/>
  <c r="G8" i="2"/>
  <c r="G17" i="2" s="1"/>
  <c r="E8" i="2"/>
  <c r="E17" i="2" s="1"/>
  <c r="F8" i="2"/>
  <c r="F17" i="2" s="1"/>
  <c r="D8" i="2"/>
  <c r="D17" i="2" s="1"/>
  <c r="H9" i="2" l="1"/>
  <c r="H18" i="2" s="1"/>
  <c r="E7" i="2"/>
  <c r="E16" i="2" s="1"/>
  <c r="E6" i="2"/>
  <c r="E15" i="2" s="1"/>
  <c r="F5" i="2"/>
  <c r="F14" i="2" s="1"/>
  <c r="F7" i="2"/>
  <c r="F16" i="2" s="1"/>
  <c r="F10" i="2"/>
  <c r="F19" i="2" s="1"/>
  <c r="H10" i="2"/>
  <c r="H19" i="2" s="1"/>
  <c r="D6" i="2"/>
  <c r="D15" i="2" s="1"/>
  <c r="E10" i="2"/>
  <c r="E19" i="2" s="1"/>
  <c r="D10" i="2"/>
  <c r="D19" i="2" s="1"/>
  <c r="G5" i="2"/>
  <c r="G14" i="2" s="1"/>
  <c r="H7" i="2"/>
  <c r="H16" i="2" s="1"/>
  <c r="G9" i="2"/>
  <c r="G18" i="2" s="1"/>
  <c r="G7" i="2"/>
  <c r="G16" i="2" s="1"/>
  <c r="D5" i="2"/>
  <c r="D14" i="2" s="1"/>
  <c r="G10" i="2"/>
  <c r="G19" i="2" s="1"/>
  <c r="F9" i="2"/>
  <c r="F18" i="2" s="1"/>
  <c r="D7" i="2"/>
  <c r="D16" i="2" s="1"/>
  <c r="E9" i="2"/>
  <c r="E18" i="2" s="1"/>
  <c r="F6" i="2"/>
  <c r="F15" i="2" s="1"/>
  <c r="D9" i="2"/>
  <c r="D18" i="2" s="1"/>
  <c r="G6" i="2"/>
  <c r="G15" i="2" s="1"/>
  <c r="H6" i="2"/>
  <c r="H15" i="2" s="1"/>
  <c r="H5" i="2"/>
  <c r="H14" i="2" s="1"/>
  <c r="E5" i="2"/>
  <c r="E14" i="2" s="1"/>
  <c r="E4" i="2" l="1"/>
  <c r="E13" i="2" s="1"/>
  <c r="H4" i="2"/>
  <c r="H13" i="2" s="1"/>
  <c r="F4" i="2"/>
  <c r="F13" i="2" s="1"/>
  <c r="G4" i="2"/>
  <c r="G13" i="2" s="1"/>
  <c r="D4" i="2" l="1"/>
  <c r="D13" i="2" s="1"/>
  <c r="F14" i="1"/>
  <c r="C14" i="1" s="1"/>
  <c r="D14" i="1" s="1"/>
  <c r="C11" i="1"/>
  <c r="C10" i="1"/>
  <c r="C9" i="1"/>
  <c r="F15" i="1" l="1"/>
  <c r="F16" i="1"/>
  <c r="C16" i="1" l="1"/>
  <c r="D16" i="1" s="1"/>
  <c r="C15" i="1"/>
  <c r="D15" i="1" s="1"/>
  <c r="D18" i="1" l="1"/>
</calcChain>
</file>

<file path=xl/sharedStrings.xml><?xml version="1.0" encoding="utf-8"?>
<sst xmlns="http://schemas.openxmlformats.org/spreadsheetml/2006/main" count="127" uniqueCount="67">
  <si>
    <t>Inputs</t>
  </si>
  <si>
    <t>Normal SABR Parameters</t>
  </si>
  <si>
    <t>Forward F</t>
  </si>
  <si>
    <t>alpha_N</t>
  </si>
  <si>
    <t>Expiry T</t>
  </si>
  <si>
    <t>rho</t>
  </si>
  <si>
    <t>Annuity (PV01)</t>
  </si>
  <si>
    <t>nu</t>
  </si>
  <si>
    <t>Strike Offsets from ATM</t>
  </si>
  <si>
    <t>ATM Offset</t>
  </si>
  <si>
    <t>Payer Offset (e.g. +50bp)</t>
  </si>
  <si>
    <t>Receiver Offset (e.g. -50bp)</t>
  </si>
  <si>
    <t>Derived Strikes</t>
  </si>
  <si>
    <t>Market Prices (bp-PV)</t>
  </si>
  <si>
    <t>ATM Straddle Price</t>
  </si>
  <si>
    <t>Payer Price (Offset)</t>
  </si>
  <si>
    <t>Receiver Price (Offset)</t>
  </si>
  <si>
    <t>Model Vols</t>
  </si>
  <si>
    <t>ATM Normal Vol</t>
  </si>
  <si>
    <t>Payer Normal Vol</t>
  </si>
  <si>
    <t>Receiver Normal Vol</t>
  </si>
  <si>
    <t>Model Prices (bp-PV)</t>
  </si>
  <si>
    <t>Errors</t>
  </si>
  <si>
    <t>Objective (Minimize)</t>
  </si>
  <si>
    <t xml:space="preserve">Implied normal volatilities are obtained using the asymptotic expansion derived in Hagan et al. (2002, Part II), </t>
  </si>
  <si>
    <t xml:space="preserve">The volatility smile is modeled using the SABR stochastic volatility framework of Hagan et al. (2002). </t>
  </si>
  <si>
    <t>Notes:</t>
  </si>
  <si>
    <t>and option prices are computed under the Bachelier (1900) normal model.</t>
  </si>
  <si>
    <t>3m</t>
  </si>
  <si>
    <t>6m</t>
  </si>
  <si>
    <t>1y</t>
  </si>
  <si>
    <t>2y</t>
  </si>
  <si>
    <t>3y</t>
  </si>
  <si>
    <t>5y</t>
  </si>
  <si>
    <t>10y</t>
  </si>
  <si>
    <t>30y</t>
  </si>
  <si>
    <t>Straddle Price</t>
  </si>
  <si>
    <t>Strike Offset</t>
  </si>
  <si>
    <t>Forward Rate</t>
  </si>
  <si>
    <t>Est Annuity</t>
  </si>
  <si>
    <t>Strangle</t>
  </si>
  <si>
    <t>1y+/-100</t>
  </si>
  <si>
    <t>2y+/-100</t>
  </si>
  <si>
    <t>5y+/-200</t>
  </si>
  <si>
    <t>10y+/-200</t>
  </si>
  <si>
    <t>6m+/-50</t>
  </si>
  <si>
    <t>3m+/-25</t>
  </si>
  <si>
    <t>3y+/-150</t>
  </si>
  <si>
    <t>Risk-Reversal</t>
  </si>
  <si>
    <t>Payer</t>
  </si>
  <si>
    <t>Receiver</t>
  </si>
  <si>
    <t>3m+25</t>
  </si>
  <si>
    <t>6m+50</t>
  </si>
  <si>
    <t>1y+100</t>
  </si>
  <si>
    <t>2y+100</t>
  </si>
  <si>
    <t>3y+150</t>
  </si>
  <si>
    <t>5y+200</t>
  </si>
  <si>
    <t>10y+200</t>
  </si>
  <si>
    <t>3m-25</t>
  </si>
  <si>
    <t>6m-50</t>
  </si>
  <si>
    <t>1y-100</t>
  </si>
  <si>
    <t>2y-100</t>
  </si>
  <si>
    <t>3y-150</t>
  </si>
  <si>
    <t>5y-200</t>
  </si>
  <si>
    <t>10y-200</t>
  </si>
  <si>
    <t>Solver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</si>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</sst>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#,##0.000"/>
    <numFmt numFmtId="166" formatCode="#,##0.00000"/>
    <numFmt numFmtId="167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0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167" fontId="0" fillId="5" borderId="0" xfId="0" applyNumberFormat="1" applyFill="1"/>
    <xf numFmtId="167" fontId="0" fillId="4" borderId="0" xfId="0" applyNumberFormat="1" applyFill="1"/>
    <xf numFmtId="167" fontId="0" fillId="3" borderId="0" xfId="0" applyNumberFormat="1" applyFill="1"/>
    <xf numFmtId="10" fontId="3" fillId="7" borderId="0" xfId="0" applyNumberFormat="1" applyFont="1" applyFill="1"/>
    <xf numFmtId="167" fontId="0" fillId="0" borderId="0" xfId="0" applyNumberFormat="1"/>
    <xf numFmtId="4" fontId="3" fillId="7" borderId="0" xfId="0" applyNumberFormat="1" applyFont="1" applyFill="1"/>
    <xf numFmtId="164" fontId="3" fillId="7" borderId="0" xfId="0" applyNumberFormat="1" applyFont="1" applyFill="1"/>
    <xf numFmtId="164" fontId="2" fillId="8" borderId="0" xfId="0" applyNumberFormat="1" applyFont="1" applyFill="1"/>
    <xf numFmtId="165" fontId="2" fillId="8" borderId="0" xfId="0" applyNumberFormat="1" applyFont="1" applyFill="1"/>
    <xf numFmtId="0" fontId="0" fillId="9" borderId="0" xfId="0" applyFill="1"/>
    <xf numFmtId="164" fontId="0" fillId="9" borderId="0" xfId="0" applyNumberFormat="1" applyFill="1"/>
    <xf numFmtId="0" fontId="2" fillId="0" borderId="0" xfId="0" applyFont="1"/>
    <xf numFmtId="0" fontId="2" fillId="0" borderId="0" xfId="0" applyFont="1" applyAlignment="1">
      <alignment horizontal="right"/>
    </xf>
    <xf numFmtId="15" fontId="0" fillId="0" borderId="0" xfId="0" applyNumberFormat="1"/>
    <xf numFmtId="0" fontId="3" fillId="7" borderId="1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7" borderId="0" xfId="0" applyFont="1" applyFill="1"/>
    <xf numFmtId="0" fontId="3" fillId="7" borderId="5" xfId="0" applyFont="1" applyFill="1" applyBorder="1"/>
    <xf numFmtId="0" fontId="3" fillId="7" borderId="6" xfId="0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164" fontId="3" fillId="7" borderId="1" xfId="1" applyNumberFormat="1" applyFont="1" applyFill="1" applyBorder="1"/>
    <xf numFmtId="164" fontId="3" fillId="7" borderId="2" xfId="1" applyNumberFormat="1" applyFont="1" applyFill="1" applyBorder="1"/>
    <xf numFmtId="164" fontId="3" fillId="7" borderId="3" xfId="1" applyNumberFormat="1" applyFont="1" applyFill="1" applyBorder="1"/>
    <xf numFmtId="164" fontId="3" fillId="7" borderId="4" xfId="1" applyNumberFormat="1" applyFont="1" applyFill="1" applyBorder="1"/>
    <xf numFmtId="164" fontId="3" fillId="7" borderId="0" xfId="1" applyNumberFormat="1" applyFont="1" applyFill="1" applyBorder="1"/>
    <xf numFmtId="164" fontId="3" fillId="7" borderId="5" xfId="1" applyNumberFormat="1" applyFont="1" applyFill="1" applyBorder="1"/>
    <xf numFmtId="164" fontId="3" fillId="7" borderId="6" xfId="1" applyNumberFormat="1" applyFont="1" applyFill="1" applyBorder="1"/>
    <xf numFmtId="164" fontId="3" fillId="7" borderId="7" xfId="1" applyNumberFormat="1" applyFont="1" applyFill="1" applyBorder="1"/>
    <xf numFmtId="164" fontId="3" fillId="7" borderId="8" xfId="1" applyNumberFormat="1" applyFont="1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164" fontId="3" fillId="8" borderId="0" xfId="0" applyNumberFormat="1" applyFont="1" applyFill="1"/>
    <xf numFmtId="165" fontId="3" fillId="8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44</xdr:row>
      <xdr:rowOff>160020</xdr:rowOff>
    </xdr:from>
    <xdr:ext cx="2491956" cy="382940"/>
    <xdr:pic>
      <xdr:nvPicPr>
        <xdr:cNvPr id="9" name="Picture 8">
          <a:extLst>
            <a:ext uri="{FF2B5EF4-FFF2-40B4-BE49-F238E27FC236}">
              <a16:creationId xmlns:a16="http://schemas.microsoft.com/office/drawing/2014/main" id="{0F8C98F0-75AE-4A2D-93BD-F2755A62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3840" y="5463540"/>
          <a:ext cx="2491956" cy="382940"/>
        </a:xfrm>
        <a:prstGeom prst="rect">
          <a:avLst/>
        </a:prstGeom>
      </xdr:spPr>
    </xdr:pic>
    <xdr:clientData/>
  </xdr:oneCellAnchor>
  <xdr:oneCellAnchor>
    <xdr:from>
      <xdr:col>0</xdr:col>
      <xdr:colOff>198120</xdr:colOff>
      <xdr:row>49</xdr:row>
      <xdr:rowOff>15240</xdr:rowOff>
    </xdr:from>
    <xdr:ext cx="2667231" cy="341025"/>
    <xdr:pic>
      <xdr:nvPicPr>
        <xdr:cNvPr id="10" name="Picture 9">
          <a:extLst>
            <a:ext uri="{FF2B5EF4-FFF2-40B4-BE49-F238E27FC236}">
              <a16:creationId xmlns:a16="http://schemas.microsoft.com/office/drawing/2014/main" id="{6948B5AB-CCC8-451C-9D2F-B8F94022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1460" y="6233160"/>
          <a:ext cx="2667231" cy="341025"/>
        </a:xfrm>
        <a:prstGeom prst="rect">
          <a:avLst/>
        </a:prstGeom>
      </xdr:spPr>
    </xdr:pic>
    <xdr:clientData/>
  </xdr:oneCellAnchor>
  <xdr:oneCellAnchor>
    <xdr:from>
      <xdr:col>0</xdr:col>
      <xdr:colOff>167640</xdr:colOff>
      <xdr:row>36</xdr:row>
      <xdr:rowOff>106680</xdr:rowOff>
    </xdr:from>
    <xdr:ext cx="1447925" cy="1259315"/>
    <xdr:pic>
      <xdr:nvPicPr>
        <xdr:cNvPr id="11" name="Picture 10">
          <a:extLst>
            <a:ext uri="{FF2B5EF4-FFF2-40B4-BE49-F238E27FC236}">
              <a16:creationId xmlns:a16="http://schemas.microsoft.com/office/drawing/2014/main" id="{9735492B-72DD-4774-9FC8-7F8E9F028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0980" y="3947160"/>
          <a:ext cx="1447925" cy="1259315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52</xdr:row>
      <xdr:rowOff>160020</xdr:rowOff>
    </xdr:from>
    <xdr:ext cx="2644369" cy="346740"/>
    <xdr:pic>
      <xdr:nvPicPr>
        <xdr:cNvPr id="12" name="Picture 11">
          <a:extLst>
            <a:ext uri="{FF2B5EF4-FFF2-40B4-BE49-F238E27FC236}">
              <a16:creationId xmlns:a16="http://schemas.microsoft.com/office/drawing/2014/main" id="{8AFEA623-F2F7-49AE-A0CD-0901A3AA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6220" y="6926580"/>
          <a:ext cx="2644369" cy="346740"/>
        </a:xfrm>
        <a:prstGeom prst="rect">
          <a:avLst/>
        </a:prstGeom>
      </xdr:spPr>
    </xdr:pic>
    <xdr:clientData/>
  </xdr:oneCellAnchor>
  <xdr:oneCellAnchor>
    <xdr:from>
      <xdr:col>0</xdr:col>
      <xdr:colOff>68580</xdr:colOff>
      <xdr:row>31</xdr:row>
      <xdr:rowOff>160020</xdr:rowOff>
    </xdr:from>
    <xdr:ext cx="2857748" cy="504869"/>
    <xdr:pic>
      <xdr:nvPicPr>
        <xdr:cNvPr id="13" name="Picture 12">
          <a:extLst>
            <a:ext uri="{FF2B5EF4-FFF2-40B4-BE49-F238E27FC236}">
              <a16:creationId xmlns:a16="http://schemas.microsoft.com/office/drawing/2014/main" id="{A4EBAE62-DD52-48B2-A766-4BE6989F0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41920" y="3086100"/>
          <a:ext cx="2857748" cy="504869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25</xdr:row>
      <xdr:rowOff>106680</xdr:rowOff>
    </xdr:from>
    <xdr:ext cx="2606266" cy="950678"/>
    <xdr:pic>
      <xdr:nvPicPr>
        <xdr:cNvPr id="14" name="Picture 13">
          <a:extLst>
            <a:ext uri="{FF2B5EF4-FFF2-40B4-BE49-F238E27FC236}">
              <a16:creationId xmlns:a16="http://schemas.microsoft.com/office/drawing/2014/main" id="{8E08267C-5876-4268-97A3-ED6E4728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1440" y="1935480"/>
          <a:ext cx="2606266" cy="950678"/>
        </a:xfrm>
        <a:prstGeom prst="rect">
          <a:avLst/>
        </a:prstGeom>
      </xdr:spPr>
    </xdr:pic>
    <xdr:clientData/>
  </xdr:oneCellAnchor>
  <xdr:oneCellAnchor>
    <xdr:from>
      <xdr:col>0</xdr:col>
      <xdr:colOff>68580</xdr:colOff>
      <xdr:row>20</xdr:row>
      <xdr:rowOff>60960</xdr:rowOff>
    </xdr:from>
    <xdr:ext cx="2530059" cy="504868"/>
    <xdr:pic>
      <xdr:nvPicPr>
        <xdr:cNvPr id="15" name="Picture 14">
          <a:extLst>
            <a:ext uri="{FF2B5EF4-FFF2-40B4-BE49-F238E27FC236}">
              <a16:creationId xmlns:a16="http://schemas.microsoft.com/office/drawing/2014/main" id="{610CA8E3-A2AD-473A-AC86-6B9330C3A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41920" y="975360"/>
          <a:ext cx="2530059" cy="5048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A3" zoomScale="90" zoomScaleNormal="90" workbookViewId="0">
      <selection activeCell="C34" sqref="C34"/>
    </sheetView>
  </sheetViews>
  <sheetFormatPr defaultRowHeight="14.4" x14ac:dyDescent="0.3"/>
  <cols>
    <col min="1" max="1" width="23.5546875" bestFit="1" customWidth="1"/>
    <col min="2" max="2" width="20" bestFit="1" customWidth="1"/>
    <col min="3" max="3" width="19.44140625" bestFit="1" customWidth="1"/>
    <col min="4" max="4" width="22.44140625" bestFit="1" customWidth="1"/>
    <col min="5" max="5" width="8" bestFit="1" customWidth="1"/>
  </cols>
  <sheetData>
    <row r="1" spans="1:7" x14ac:dyDescent="0.3">
      <c r="D1" s="21" t="s">
        <v>1</v>
      </c>
      <c r="G1" t="s">
        <v>26</v>
      </c>
    </row>
    <row r="2" spans="1:7" x14ac:dyDescent="0.3">
      <c r="A2" t="s">
        <v>0</v>
      </c>
      <c r="D2" s="22" t="s">
        <v>65</v>
      </c>
      <c r="E2" s="21" t="s">
        <v>66</v>
      </c>
      <c r="G2" t="s">
        <v>25</v>
      </c>
    </row>
    <row r="3" spans="1:7" x14ac:dyDescent="0.3">
      <c r="A3" t="s">
        <v>2</v>
      </c>
      <c r="B3" s="16">
        <v>3.9689000000000002E-2</v>
      </c>
      <c r="C3" t="s">
        <v>3</v>
      </c>
      <c r="D3" s="17">
        <v>7.2194234250698552E-3</v>
      </c>
      <c r="E3" s="51">
        <v>7.2069999999999999E-3</v>
      </c>
      <c r="G3" t="s">
        <v>24</v>
      </c>
    </row>
    <row r="4" spans="1:7" x14ac:dyDescent="0.3">
      <c r="A4" t="s">
        <v>4</v>
      </c>
      <c r="B4" s="15">
        <v>1</v>
      </c>
      <c r="C4" t="s">
        <v>5</v>
      </c>
      <c r="D4" s="17">
        <v>7.9279737128280264E-2</v>
      </c>
      <c r="E4" s="51">
        <v>8.4000000000000005E-2</v>
      </c>
      <c r="G4" t="s">
        <v>27</v>
      </c>
    </row>
    <row r="5" spans="1:7" x14ac:dyDescent="0.3">
      <c r="A5" t="s">
        <v>6</v>
      </c>
      <c r="B5" s="15">
        <v>7.8472446459487193</v>
      </c>
      <c r="C5" t="s">
        <v>7</v>
      </c>
      <c r="D5" s="18">
        <v>0.56657335435143863</v>
      </c>
      <c r="E5" s="52">
        <v>0.57999999999999996</v>
      </c>
    </row>
    <row r="8" spans="1:7" x14ac:dyDescent="0.3">
      <c r="A8" t="s">
        <v>8</v>
      </c>
      <c r="C8" s="21" t="s">
        <v>12</v>
      </c>
    </row>
    <row r="9" spans="1:7" x14ac:dyDescent="0.3">
      <c r="A9" t="s">
        <v>9</v>
      </c>
      <c r="B9" s="1">
        <v>0</v>
      </c>
      <c r="C9" s="14">
        <f>B3+B9</f>
        <v>3.9689000000000002E-2</v>
      </c>
    </row>
    <row r="10" spans="1:7" x14ac:dyDescent="0.3">
      <c r="A10" t="s">
        <v>10</v>
      </c>
      <c r="B10" s="13">
        <v>0.01</v>
      </c>
      <c r="C10" s="2">
        <f>B3+B10</f>
        <v>4.9689000000000004E-2</v>
      </c>
    </row>
    <row r="11" spans="1:7" x14ac:dyDescent="0.3">
      <c r="A11" t="s">
        <v>11</v>
      </c>
      <c r="B11" s="13">
        <v>-0.01</v>
      </c>
      <c r="C11" s="2">
        <f>B3+B11</f>
        <v>2.9689E-2</v>
      </c>
    </row>
    <row r="13" spans="1:7" x14ac:dyDescent="0.3">
      <c r="B13" s="21" t="s">
        <v>13</v>
      </c>
      <c r="C13" s="21" t="s">
        <v>21</v>
      </c>
      <c r="D13" s="21" t="s">
        <v>22</v>
      </c>
      <c r="E13" s="21" t="s">
        <v>17</v>
      </c>
    </row>
    <row r="14" spans="1:7" x14ac:dyDescent="0.3">
      <c r="A14" t="s">
        <v>14</v>
      </c>
      <c r="B14" s="13">
        <v>4.6399999999999997E-2</v>
      </c>
      <c r="C14" s="10">
        <f>2*B5*(F14*SQRT(B4)/SQRT(2*PI()))</f>
        <v>4.639999992764058E-2</v>
      </c>
      <c r="D14" s="3">
        <f>(C14-B14)*10000</f>
        <v>-7.2359417069289833E-7</v>
      </c>
      <c r="E14" t="s">
        <v>18</v>
      </c>
      <c r="F14" s="20">
        <f>D3*(1+(B4*D5^2/24)*(2-3*D4^2))</f>
        <v>7.4107254844887555E-3</v>
      </c>
    </row>
    <row r="15" spans="1:7" x14ac:dyDescent="0.3">
      <c r="A15" t="s">
        <v>15</v>
      </c>
      <c r="B15" s="13">
        <v>3.5500000000000002E-3</v>
      </c>
      <c r="C15" s="11">
        <f>B5*((B3-C10)*_xlfn.NORM.S.DIST((B3-C10)/(F15*SQRT(B4)),TRUE)+F15*SQRT(B4)*_xlfn.NORM.S.DIST((B3-C10)/(F15*SQRT(B4)),FALSE))</f>
        <v>3.5499999865364644E-3</v>
      </c>
      <c r="D15" s="3">
        <f t="shared" ref="D15:D16" si="0">(C15-B15)*10000</f>
        <v>-1.3463535841751195E-7</v>
      </c>
      <c r="E15" t="s">
        <v>19</v>
      </c>
      <c r="F15" s="9">
        <f>D3*((D5/D3*(B3-C10)) / LN((SQRT(1-2*D4*(D5/D3*(B3-C10))+(D5/D3*(B3-C10))^2)+(D5/D3*(B3-C10))-D4)/(1-D4)))*(1+(B4*D5^2/24)*(2-3*D4^2))</f>
        <v>8.2548718294014663E-3</v>
      </c>
    </row>
    <row r="16" spans="1:7" x14ac:dyDescent="0.3">
      <c r="A16" t="s">
        <v>16</v>
      </c>
      <c r="B16" s="13">
        <v>3.0000000000000001E-3</v>
      </c>
      <c r="C16" s="12">
        <f>B5*((C11-B3)*_xlfn.NORM.S.DIST(-(B3-C11)/(F16*SQRT(B4)),TRUE)+F16*SQRT(B4)*_xlfn.NORM.S.DIST((B3-C11)/(F16*SQRT(B4)),FALSE))</f>
        <v>3.0000000244558233E-3</v>
      </c>
      <c r="D16" s="3">
        <f t="shared" si="0"/>
        <v>2.4455823217223172E-7</v>
      </c>
      <c r="E16" t="s">
        <v>20</v>
      </c>
      <c r="F16" s="9">
        <f>D3*((D5/D3*(B3-C11)) / LN((SQRT(1-2*D4*(D5/D3*(B3-C11))+(D5/D3*(B3-C11))^2)+(D5/D3*(B3-C11))-D4)/(1-D4)))*(1+(B4*D5^2/24)*(2-3*D4^2))</f>
        <v>7.8758711260841791E-3</v>
      </c>
    </row>
    <row r="18" spans="1:4" x14ac:dyDescent="0.3">
      <c r="C18" t="s">
        <v>23</v>
      </c>
      <c r="D18" s="4">
        <f>D14^2+D15^2+D16^2</f>
        <v>6.0152393252016228E-13</v>
      </c>
    </row>
    <row r="20" spans="1:4" x14ac:dyDescent="0.3">
      <c r="A20" s="19"/>
      <c r="B20" s="19"/>
    </row>
    <row r="21" spans="1:4" x14ac:dyDescent="0.3">
      <c r="A21" s="19"/>
      <c r="B21" s="19"/>
    </row>
    <row r="22" spans="1:4" x14ac:dyDescent="0.3">
      <c r="A22" s="19"/>
      <c r="B22" s="19"/>
    </row>
    <row r="23" spans="1:4" x14ac:dyDescent="0.3">
      <c r="A23" s="19"/>
      <c r="B23" s="19"/>
    </row>
    <row r="24" spans="1:4" x14ac:dyDescent="0.3">
      <c r="A24" s="19"/>
      <c r="B24" s="19"/>
    </row>
    <row r="25" spans="1:4" x14ac:dyDescent="0.3">
      <c r="A25" s="8"/>
      <c r="B25" s="8"/>
    </row>
    <row r="26" spans="1:4" x14ac:dyDescent="0.3">
      <c r="A26" s="8"/>
      <c r="B26" s="8"/>
    </row>
    <row r="27" spans="1:4" x14ac:dyDescent="0.3">
      <c r="A27" s="8"/>
      <c r="B27" s="8"/>
    </row>
    <row r="28" spans="1:4" x14ac:dyDescent="0.3">
      <c r="A28" s="8"/>
      <c r="B28" s="8"/>
    </row>
    <row r="29" spans="1:4" x14ac:dyDescent="0.3">
      <c r="A29" s="8"/>
      <c r="B29" s="8"/>
    </row>
    <row r="30" spans="1:4" x14ac:dyDescent="0.3">
      <c r="A30" s="8"/>
      <c r="B30" s="8"/>
    </row>
    <row r="31" spans="1:4" x14ac:dyDescent="0.3">
      <c r="A31" s="8"/>
      <c r="B31" s="8"/>
    </row>
    <row r="32" spans="1:4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  <row r="35" spans="1:2" x14ac:dyDescent="0.3">
      <c r="A35" s="8"/>
      <c r="B35" s="8"/>
    </row>
    <row r="36" spans="1:2" x14ac:dyDescent="0.3">
      <c r="A36" s="8"/>
      <c r="B36" s="8"/>
    </row>
    <row r="37" spans="1:2" x14ac:dyDescent="0.3">
      <c r="A37" s="7"/>
      <c r="B37" s="7"/>
    </row>
    <row r="38" spans="1:2" x14ac:dyDescent="0.3">
      <c r="A38" s="7"/>
      <c r="B38" s="7"/>
    </row>
    <row r="39" spans="1:2" x14ac:dyDescent="0.3">
      <c r="A39" s="7"/>
      <c r="B39" s="7"/>
    </row>
    <row r="40" spans="1:2" x14ac:dyDescent="0.3">
      <c r="A40" s="7"/>
      <c r="B40" s="7"/>
    </row>
    <row r="41" spans="1:2" x14ac:dyDescent="0.3">
      <c r="A41" s="7"/>
      <c r="B41" s="7"/>
    </row>
    <row r="42" spans="1:2" x14ac:dyDescent="0.3">
      <c r="A42" s="7"/>
      <c r="B42" s="7"/>
    </row>
    <row r="43" spans="1:2" x14ac:dyDescent="0.3">
      <c r="A43" s="7"/>
      <c r="B43" s="7"/>
    </row>
    <row r="44" spans="1:2" x14ac:dyDescent="0.3">
      <c r="A44" s="7"/>
      <c r="B44" s="7"/>
    </row>
    <row r="45" spans="1:2" x14ac:dyDescent="0.3">
      <c r="A45" s="6"/>
      <c r="B45" s="6"/>
    </row>
    <row r="46" spans="1:2" x14ac:dyDescent="0.3">
      <c r="A46" s="6"/>
      <c r="B46" s="6"/>
    </row>
    <row r="47" spans="1:2" x14ac:dyDescent="0.3">
      <c r="A47" s="6"/>
      <c r="B47" s="6"/>
    </row>
    <row r="48" spans="1:2" x14ac:dyDescent="0.3">
      <c r="A48" s="6"/>
      <c r="B48" s="6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4"/>
      <c r="B53" s="4"/>
    </row>
    <row r="54" spans="1:2" x14ac:dyDescent="0.3">
      <c r="A54" s="4"/>
      <c r="B54" s="4"/>
    </row>
    <row r="55" spans="1:2" x14ac:dyDescent="0.3">
      <c r="A55" s="4"/>
      <c r="B55" s="4"/>
    </row>
    <row r="56" spans="1:2" x14ac:dyDescent="0.3">
      <c r="A56" s="4"/>
      <c r="B56" s="4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9D4A-0773-408C-A8C6-C939C2AE6A13}">
  <dimension ref="A1:P64"/>
  <sheetViews>
    <sheetView showGridLines="0" tabSelected="1" zoomScale="75" zoomScaleNormal="75" workbookViewId="0"/>
  </sheetViews>
  <sheetFormatPr defaultRowHeight="14.4" x14ac:dyDescent="0.3"/>
  <cols>
    <col min="2" max="2" width="9.44140625" bestFit="1" customWidth="1"/>
    <col min="3" max="3" width="12.109375" bestFit="1" customWidth="1"/>
    <col min="4" max="8" width="7.77734375" bestFit="1" customWidth="1"/>
  </cols>
  <sheetData>
    <row r="1" spans="1:16" x14ac:dyDescent="0.3">
      <c r="B1" s="23">
        <v>46041</v>
      </c>
      <c r="D1">
        <v>1</v>
      </c>
      <c r="E1">
        <v>2</v>
      </c>
      <c r="F1">
        <v>5</v>
      </c>
      <c r="G1">
        <v>10</v>
      </c>
      <c r="H1">
        <v>30</v>
      </c>
    </row>
    <row r="3" spans="1:16" x14ac:dyDescent="0.3">
      <c r="C3" s="21" t="s">
        <v>38</v>
      </c>
      <c r="D3" t="s">
        <v>30</v>
      </c>
      <c r="E3" t="s">
        <v>31</v>
      </c>
      <c r="F3" t="s">
        <v>33</v>
      </c>
      <c r="G3" t="s">
        <v>34</v>
      </c>
      <c r="H3" t="s">
        <v>35</v>
      </c>
      <c r="K3" s="21" t="s">
        <v>38</v>
      </c>
      <c r="L3" t="s">
        <v>30</v>
      </c>
      <c r="M3" t="s">
        <v>31</v>
      </c>
      <c r="N3" t="s">
        <v>33</v>
      </c>
      <c r="O3" t="s">
        <v>34</v>
      </c>
      <c r="P3" t="s">
        <v>35</v>
      </c>
    </row>
    <row r="4" spans="1:16" x14ac:dyDescent="0.3">
      <c r="C4" t="s">
        <v>28</v>
      </c>
      <c r="D4" s="33">
        <f t="shared" ref="D4:H10" si="0">L4/100</f>
        <v>3.4155999999999999E-2</v>
      </c>
      <c r="E4" s="34">
        <f t="shared" si="0"/>
        <v>3.3929999999999995E-2</v>
      </c>
      <c r="F4" s="34">
        <f t="shared" si="0"/>
        <v>3.5672999999999996E-2</v>
      </c>
      <c r="G4" s="34">
        <f t="shared" si="0"/>
        <v>3.8835000000000001E-2</v>
      </c>
      <c r="H4" s="35">
        <f t="shared" si="0"/>
        <v>4.1939999999999998E-2</v>
      </c>
      <c r="K4" t="s">
        <v>28</v>
      </c>
      <c r="L4">
        <v>3.4156</v>
      </c>
      <c r="M4">
        <v>3.3929999999999998</v>
      </c>
      <c r="N4">
        <v>3.5672999999999999</v>
      </c>
      <c r="O4">
        <v>3.8835000000000002</v>
      </c>
      <c r="P4">
        <v>4.194</v>
      </c>
    </row>
    <row r="5" spans="1:16" x14ac:dyDescent="0.3">
      <c r="C5" t="s">
        <v>29</v>
      </c>
      <c r="D5" s="36">
        <f t="shared" si="0"/>
        <v>3.3345E-2</v>
      </c>
      <c r="E5" s="37">
        <f t="shared" si="0"/>
        <v>3.3777000000000001E-2</v>
      </c>
      <c r="F5" s="37">
        <f t="shared" si="0"/>
        <v>3.5841999999999999E-2</v>
      </c>
      <c r="G5" s="37">
        <f t="shared" si="0"/>
        <v>3.9072000000000003E-2</v>
      </c>
      <c r="H5" s="38">
        <f t="shared" si="0"/>
        <v>4.1992000000000002E-2</v>
      </c>
      <c r="K5" t="s">
        <v>29</v>
      </c>
      <c r="L5">
        <v>3.3344999999999998</v>
      </c>
      <c r="M5">
        <v>3.3776999999999999</v>
      </c>
      <c r="N5">
        <v>3.5842000000000001</v>
      </c>
      <c r="O5">
        <v>3.9072</v>
      </c>
      <c r="P5">
        <v>4.1992000000000003</v>
      </c>
    </row>
    <row r="6" spans="1:16" x14ac:dyDescent="0.3">
      <c r="C6" t="s">
        <v>30</v>
      </c>
      <c r="D6" s="36">
        <f t="shared" si="0"/>
        <v>3.3189000000000003E-2</v>
      </c>
      <c r="E6" s="37">
        <f t="shared" si="0"/>
        <v>3.4062000000000002E-2</v>
      </c>
      <c r="F6" s="37">
        <f t="shared" si="0"/>
        <v>3.6434000000000001E-2</v>
      </c>
      <c r="G6" s="37">
        <f t="shared" si="0"/>
        <v>3.9689000000000002E-2</v>
      </c>
      <c r="H6" s="38">
        <f t="shared" si="0"/>
        <v>4.2165999999999995E-2</v>
      </c>
      <c r="K6" t="s">
        <v>30</v>
      </c>
      <c r="L6">
        <v>3.3189000000000002</v>
      </c>
      <c r="M6">
        <v>3.4062000000000001</v>
      </c>
      <c r="N6">
        <v>3.6434000000000002</v>
      </c>
      <c r="O6">
        <v>3.9689000000000001</v>
      </c>
      <c r="P6">
        <v>4.2165999999999997</v>
      </c>
    </row>
    <row r="7" spans="1:16" x14ac:dyDescent="0.3">
      <c r="C7" t="s">
        <v>31</v>
      </c>
      <c r="D7" s="36">
        <f t="shared" si="0"/>
        <v>3.4962E-2</v>
      </c>
      <c r="E7" s="37">
        <f t="shared" si="0"/>
        <v>3.5777999999999997E-2</v>
      </c>
      <c r="F7" s="37">
        <f t="shared" si="0"/>
        <v>3.8065000000000002E-2</v>
      </c>
      <c r="G7" s="37">
        <f t="shared" si="0"/>
        <v>4.104E-2</v>
      </c>
      <c r="H7" s="38">
        <f t="shared" si="0"/>
        <v>4.2564999999999999E-2</v>
      </c>
      <c r="K7" t="s">
        <v>31</v>
      </c>
      <c r="L7">
        <v>3.4962</v>
      </c>
      <c r="M7">
        <v>3.5777999999999999</v>
      </c>
      <c r="N7">
        <v>3.8065000000000002</v>
      </c>
      <c r="O7">
        <v>4.1040000000000001</v>
      </c>
      <c r="P7">
        <v>4.2565</v>
      </c>
    </row>
    <row r="8" spans="1:16" x14ac:dyDescent="0.3">
      <c r="C8" t="s">
        <v>32</v>
      </c>
      <c r="D8" s="36">
        <f t="shared" si="0"/>
        <v>3.6629999999999996E-2</v>
      </c>
      <c r="E8" s="37">
        <f t="shared" si="0"/>
        <v>3.7383E-2</v>
      </c>
      <c r="F8" s="37">
        <f t="shared" si="0"/>
        <v>3.9588999999999999E-2</v>
      </c>
      <c r="G8" s="37">
        <f t="shared" si="0"/>
        <v>4.2358E-2</v>
      </c>
      <c r="H8" s="38">
        <f t="shared" si="0"/>
        <v>4.2880000000000001E-2</v>
      </c>
      <c r="K8" t="s">
        <v>32</v>
      </c>
      <c r="L8">
        <v>3.6629999999999998</v>
      </c>
      <c r="M8">
        <v>3.7383000000000002</v>
      </c>
      <c r="N8">
        <v>3.9588999999999999</v>
      </c>
      <c r="O8">
        <v>4.2358000000000002</v>
      </c>
      <c r="P8">
        <v>4.2880000000000003</v>
      </c>
    </row>
    <row r="9" spans="1:16" x14ac:dyDescent="0.3">
      <c r="C9" t="s">
        <v>33</v>
      </c>
      <c r="D9" s="36">
        <f t="shared" si="0"/>
        <v>3.9854000000000001E-2</v>
      </c>
      <c r="E9" s="37">
        <f t="shared" si="0"/>
        <v>4.0586000000000004E-2</v>
      </c>
      <c r="F9" s="37">
        <f t="shared" si="0"/>
        <v>4.2365000000000007E-2</v>
      </c>
      <c r="G9" s="37">
        <f t="shared" si="0"/>
        <v>4.4541999999999998E-2</v>
      </c>
      <c r="H9" s="38">
        <f t="shared" si="0"/>
        <v>4.3247999999999995E-2</v>
      </c>
      <c r="K9" t="s">
        <v>33</v>
      </c>
      <c r="L9">
        <v>3.9853999999999998</v>
      </c>
      <c r="M9">
        <v>4.0586000000000002</v>
      </c>
      <c r="N9">
        <v>4.2365000000000004</v>
      </c>
      <c r="O9">
        <v>4.4542000000000002</v>
      </c>
      <c r="P9">
        <v>4.3247999999999998</v>
      </c>
    </row>
    <row r="10" spans="1:16" x14ac:dyDescent="0.3">
      <c r="C10" t="s">
        <v>34</v>
      </c>
      <c r="D10" s="39">
        <f t="shared" si="0"/>
        <v>4.6440000000000002E-2</v>
      </c>
      <c r="E10" s="40">
        <f t="shared" si="0"/>
        <v>4.6443000000000005E-2</v>
      </c>
      <c r="F10" s="40">
        <f t="shared" si="0"/>
        <v>4.7272999999999996E-2</v>
      </c>
      <c r="G10" s="40">
        <f t="shared" si="0"/>
        <v>4.7215E-2</v>
      </c>
      <c r="H10" s="41">
        <f t="shared" si="0"/>
        <v>4.2633000000000004E-2</v>
      </c>
      <c r="K10" t="s">
        <v>34</v>
      </c>
      <c r="L10">
        <v>4.6440000000000001</v>
      </c>
      <c r="M10">
        <v>4.6443000000000003</v>
      </c>
      <c r="N10">
        <v>4.7272999999999996</v>
      </c>
      <c r="O10">
        <v>4.7214999999999998</v>
      </c>
      <c r="P10">
        <v>4.2633000000000001</v>
      </c>
    </row>
    <row r="12" spans="1:16" x14ac:dyDescent="0.3">
      <c r="C12" s="21" t="s">
        <v>39</v>
      </c>
      <c r="D12" t="s">
        <v>30</v>
      </c>
      <c r="E12" t="s">
        <v>31</v>
      </c>
      <c r="F12" t="s">
        <v>33</v>
      </c>
      <c r="G12" t="s">
        <v>34</v>
      </c>
      <c r="H12" t="s">
        <v>35</v>
      </c>
    </row>
    <row r="13" spans="1:16" x14ac:dyDescent="0.3">
      <c r="A13" s="1">
        <v>3.6999999999999998E-2</v>
      </c>
      <c r="B13">
        <v>0.25</v>
      </c>
      <c r="C13" t="s">
        <v>28</v>
      </c>
      <c r="D13" s="24">
        <f t="shared" ref="D13:H19" si="1">-PV(D4,D$1,1)/(1+$B13*$A13)</f>
        <v>0.95810958723898576</v>
      </c>
      <c r="E13" s="25">
        <f t="shared" si="1"/>
        <v>1.8851893188623092</v>
      </c>
      <c r="F13" s="25">
        <f t="shared" si="1"/>
        <v>4.4651568325458593</v>
      </c>
      <c r="G13" s="25">
        <f t="shared" si="1"/>
        <v>8.0833691498884637</v>
      </c>
      <c r="H13" s="26">
        <f t="shared" si="1"/>
        <v>16.737080478955541</v>
      </c>
    </row>
    <row r="14" spans="1:16" x14ac:dyDescent="0.3">
      <c r="A14" s="1">
        <v>3.5999999999999997E-2</v>
      </c>
      <c r="B14">
        <v>0.5</v>
      </c>
      <c r="C14" t="s">
        <v>29</v>
      </c>
      <c r="D14" s="27">
        <f t="shared" si="1"/>
        <v>0.95061985214990308</v>
      </c>
      <c r="E14" s="28">
        <f t="shared" si="1"/>
        <v>1.869398210061151</v>
      </c>
      <c r="F14" s="28">
        <f t="shared" si="1"/>
        <v>4.4246618756834835</v>
      </c>
      <c r="G14" s="28">
        <f t="shared" si="1"/>
        <v>8.0044163622458768</v>
      </c>
      <c r="H14" s="29">
        <f t="shared" si="1"/>
        <v>16.582876130190776</v>
      </c>
    </row>
    <row r="15" spans="1:16" x14ac:dyDescent="0.3">
      <c r="A15" s="1">
        <v>3.5200000000000002E-2</v>
      </c>
      <c r="B15">
        <v>1</v>
      </c>
      <c r="C15" t="s">
        <v>30</v>
      </c>
      <c r="D15" s="27">
        <f t="shared" si="1"/>
        <v>0.93496631188474655</v>
      </c>
      <c r="E15" s="28">
        <f t="shared" si="1"/>
        <v>1.8375821581041658</v>
      </c>
      <c r="F15" s="28">
        <f t="shared" si="1"/>
        <v>4.3438698591230001</v>
      </c>
      <c r="G15" s="28">
        <f t="shared" si="1"/>
        <v>7.8472446459487193</v>
      </c>
      <c r="H15" s="29">
        <f t="shared" si="1"/>
        <v>16.273380713842403</v>
      </c>
    </row>
    <row r="16" spans="1:16" x14ac:dyDescent="0.3">
      <c r="A16" s="1">
        <v>3.4200000000000001E-2</v>
      </c>
      <c r="B16">
        <v>2</v>
      </c>
      <c r="C16" t="s">
        <v>31</v>
      </c>
      <c r="D16" s="27">
        <f t="shared" si="1"/>
        <v>0.90436077273333249</v>
      </c>
      <c r="E16" s="28">
        <f t="shared" si="1"/>
        <v>1.7760826538915919</v>
      </c>
      <c r="F16" s="28">
        <f t="shared" si="1"/>
        <v>4.1895600526411476</v>
      </c>
      <c r="G16" s="28">
        <f t="shared" si="1"/>
        <v>7.5524765169522432</v>
      </c>
      <c r="H16" s="29">
        <f t="shared" si="1"/>
        <v>15.692614663614199</v>
      </c>
    </row>
    <row r="17" spans="1:16" x14ac:dyDescent="0.3">
      <c r="A17" s="1">
        <v>3.4500000000000003E-2</v>
      </c>
      <c r="C17" t="s">
        <v>32</v>
      </c>
      <c r="D17" s="27">
        <f t="shared" si="1"/>
        <v>0.96466434504114151</v>
      </c>
      <c r="E17" s="28">
        <f t="shared" si="1"/>
        <v>1.8931909709016159</v>
      </c>
      <c r="F17" s="28">
        <f t="shared" si="1"/>
        <v>4.4569670772737382</v>
      </c>
      <c r="G17" s="28">
        <f t="shared" si="1"/>
        <v>8.0165178180012173</v>
      </c>
      <c r="H17" s="29">
        <f t="shared" si="1"/>
        <v>16.703073857161176</v>
      </c>
    </row>
    <row r="18" spans="1:16" x14ac:dyDescent="0.3">
      <c r="A18" s="1">
        <v>3.56E-2</v>
      </c>
      <c r="B18">
        <v>5</v>
      </c>
      <c r="C18" t="s">
        <v>33</v>
      </c>
      <c r="D18" s="27">
        <f t="shared" si="1"/>
        <v>0.81636117631415139</v>
      </c>
      <c r="E18" s="28">
        <f t="shared" si="1"/>
        <v>1.5997556586899855</v>
      </c>
      <c r="F18" s="28">
        <f t="shared" si="1"/>
        <v>3.7541589392971879</v>
      </c>
      <c r="G18" s="28">
        <f t="shared" si="1"/>
        <v>6.7322300037676133</v>
      </c>
      <c r="H18" s="29">
        <f t="shared" si="1"/>
        <v>14.117171857234064</v>
      </c>
    </row>
    <row r="19" spans="1:16" x14ac:dyDescent="0.3">
      <c r="A19" s="1">
        <v>3.8599999999999995E-2</v>
      </c>
      <c r="B19">
        <v>10</v>
      </c>
      <c r="C19" t="s">
        <v>34</v>
      </c>
      <c r="D19" s="30">
        <f t="shared" si="1"/>
        <v>0.68948121392599859</v>
      </c>
      <c r="E19" s="31">
        <f t="shared" si="1"/>
        <v>1.3483581607256983</v>
      </c>
      <c r="F19" s="31">
        <f t="shared" si="1"/>
        <v>3.1474090190655528</v>
      </c>
      <c r="G19" s="31">
        <f t="shared" si="1"/>
        <v>5.6473624699572156</v>
      </c>
      <c r="H19" s="32">
        <f t="shared" si="1"/>
        <v>12.086852165833141</v>
      </c>
    </row>
    <row r="21" spans="1:16" x14ac:dyDescent="0.3">
      <c r="C21" s="21" t="s">
        <v>36</v>
      </c>
      <c r="D21" t="s">
        <v>30</v>
      </c>
      <c r="E21" t="s">
        <v>31</v>
      </c>
      <c r="F21" t="s">
        <v>33</v>
      </c>
      <c r="G21" t="s">
        <v>34</v>
      </c>
      <c r="H21" t="s">
        <v>35</v>
      </c>
      <c r="K21" s="21" t="s">
        <v>37</v>
      </c>
      <c r="L21" t="s">
        <v>30</v>
      </c>
      <c r="M21" t="s">
        <v>31</v>
      </c>
      <c r="N21" t="s">
        <v>33</v>
      </c>
      <c r="O21" t="s">
        <v>34</v>
      </c>
      <c r="P21" t="s">
        <v>35</v>
      </c>
    </row>
    <row r="22" spans="1:16" x14ac:dyDescent="0.3">
      <c r="C22" t="s">
        <v>28</v>
      </c>
      <c r="D22" s="24">
        <v>20</v>
      </c>
      <c r="E22" s="25">
        <v>46</v>
      </c>
      <c r="F22" s="25">
        <v>120</v>
      </c>
      <c r="G22" s="25">
        <v>212</v>
      </c>
      <c r="H22" s="26">
        <v>429</v>
      </c>
      <c r="K22" t="s">
        <v>28</v>
      </c>
      <c r="L22" s="1">
        <v>2.5000000000000001E-3</v>
      </c>
      <c r="M22" s="1">
        <v>2.5000000000000001E-3</v>
      </c>
      <c r="N22" s="1">
        <v>2.5000000000000001E-3</v>
      </c>
      <c r="O22" s="1">
        <v>2.5000000000000001E-3</v>
      </c>
      <c r="P22" s="1">
        <v>2.5000000000000001E-3</v>
      </c>
    </row>
    <row r="23" spans="1:16" x14ac:dyDescent="0.3">
      <c r="C23" t="s">
        <v>29</v>
      </c>
      <c r="D23" s="27">
        <v>31</v>
      </c>
      <c r="E23" s="28">
        <v>70</v>
      </c>
      <c r="F23" s="28">
        <v>175</v>
      </c>
      <c r="G23" s="28">
        <v>313</v>
      </c>
      <c r="H23" s="29">
        <v>631</v>
      </c>
      <c r="K23" t="s">
        <v>29</v>
      </c>
      <c r="L23" s="1">
        <v>5.0000000000000001E-3</v>
      </c>
      <c r="M23" s="1">
        <v>5.0000000000000001E-3</v>
      </c>
      <c r="N23" s="1">
        <v>5.0000000000000001E-3</v>
      </c>
      <c r="O23" s="1">
        <v>5.0000000000000001E-3</v>
      </c>
      <c r="P23" s="1">
        <v>5.0000000000000001E-3</v>
      </c>
    </row>
    <row r="24" spans="1:16" x14ac:dyDescent="0.3">
      <c r="C24" t="s">
        <v>30</v>
      </c>
      <c r="D24" s="27">
        <v>50</v>
      </c>
      <c r="E24" s="28">
        <v>107</v>
      </c>
      <c r="F24" s="28">
        <v>258</v>
      </c>
      <c r="G24" s="28">
        <v>463</v>
      </c>
      <c r="H24" s="29">
        <v>928</v>
      </c>
      <c r="K24" t="s">
        <v>30</v>
      </c>
      <c r="L24" s="1">
        <v>0.01</v>
      </c>
      <c r="M24" s="1">
        <v>0.01</v>
      </c>
      <c r="N24" s="1">
        <v>0.01</v>
      </c>
      <c r="O24" s="1">
        <v>0.01</v>
      </c>
      <c r="P24" s="1">
        <v>0.01</v>
      </c>
    </row>
    <row r="25" spans="1:16" x14ac:dyDescent="0.3">
      <c r="C25" t="s">
        <v>31</v>
      </c>
      <c r="D25" s="27">
        <v>78</v>
      </c>
      <c r="E25" s="28">
        <v>157</v>
      </c>
      <c r="F25" s="28">
        <v>368</v>
      </c>
      <c r="G25" s="28">
        <v>653</v>
      </c>
      <c r="H25" s="29">
        <v>1295</v>
      </c>
      <c r="K25" t="s">
        <v>31</v>
      </c>
      <c r="L25" s="1">
        <v>0.01</v>
      </c>
      <c r="M25" s="1">
        <v>0.01</v>
      </c>
      <c r="N25" s="1">
        <v>0.01</v>
      </c>
      <c r="O25" s="1">
        <v>0.01</v>
      </c>
      <c r="P25" s="1">
        <v>0.01</v>
      </c>
    </row>
    <row r="26" spans="1:16" x14ac:dyDescent="0.3">
      <c r="C26" t="s">
        <v>32</v>
      </c>
      <c r="D26" s="27">
        <v>96</v>
      </c>
      <c r="E26" s="28">
        <v>189</v>
      </c>
      <c r="F26" s="28">
        <v>441</v>
      </c>
      <c r="G26" s="28">
        <v>778</v>
      </c>
      <c r="H26" s="29">
        <v>1534</v>
      </c>
      <c r="K26" t="s">
        <v>32</v>
      </c>
      <c r="L26" s="1">
        <v>1.4999999999999999E-2</v>
      </c>
      <c r="M26" s="1">
        <v>1.4999999999999999E-2</v>
      </c>
      <c r="N26" s="1">
        <v>1.4999999999999999E-2</v>
      </c>
      <c r="O26" s="1">
        <v>1.4999999999999999E-2</v>
      </c>
      <c r="P26" s="1">
        <v>1.4999999999999999E-2</v>
      </c>
    </row>
    <row r="27" spans="1:16" x14ac:dyDescent="0.3">
      <c r="C27" t="s">
        <v>33</v>
      </c>
      <c r="D27" s="27">
        <v>118</v>
      </c>
      <c r="E27" s="28">
        <v>231</v>
      </c>
      <c r="F27" s="28">
        <v>534</v>
      </c>
      <c r="G27" s="28">
        <v>932</v>
      </c>
      <c r="H27" s="29">
        <v>1824</v>
      </c>
      <c r="K27" t="s">
        <v>33</v>
      </c>
      <c r="L27" s="1">
        <v>0.02</v>
      </c>
      <c r="M27" s="1">
        <v>0.02</v>
      </c>
      <c r="N27" s="1">
        <v>0.02</v>
      </c>
      <c r="O27" s="1">
        <v>0.02</v>
      </c>
      <c r="P27" s="1">
        <v>0.02</v>
      </c>
    </row>
    <row r="28" spans="1:16" x14ac:dyDescent="0.3">
      <c r="C28" t="s">
        <v>34</v>
      </c>
      <c r="D28" s="30">
        <v>135</v>
      </c>
      <c r="E28" s="31">
        <v>261</v>
      </c>
      <c r="F28" s="31">
        <v>598</v>
      </c>
      <c r="G28" s="31">
        <v>1034</v>
      </c>
      <c r="H28" s="32">
        <v>2034</v>
      </c>
      <c r="K28" t="s">
        <v>34</v>
      </c>
      <c r="L28" s="1">
        <v>0.02</v>
      </c>
      <c r="M28" s="1">
        <v>0.02</v>
      </c>
      <c r="N28" s="1">
        <v>0.02</v>
      </c>
      <c r="O28" s="1">
        <v>0.02</v>
      </c>
      <c r="P28" s="1">
        <v>0.02</v>
      </c>
    </row>
    <row r="30" spans="1:16" x14ac:dyDescent="0.3">
      <c r="C30" s="21" t="s">
        <v>40</v>
      </c>
    </row>
    <row r="31" spans="1:16" x14ac:dyDescent="0.3">
      <c r="C31" t="s">
        <v>46</v>
      </c>
      <c r="D31" s="24">
        <v>10</v>
      </c>
      <c r="E31" s="25">
        <v>26</v>
      </c>
      <c r="F31" s="25">
        <v>73</v>
      </c>
      <c r="G31" s="25">
        <v>126</v>
      </c>
      <c r="H31" s="26">
        <v>253</v>
      </c>
    </row>
    <row r="32" spans="1:16" x14ac:dyDescent="0.3">
      <c r="C32" t="s">
        <v>45</v>
      </c>
      <c r="D32" s="27">
        <v>13</v>
      </c>
      <c r="E32" s="28">
        <v>34</v>
      </c>
      <c r="F32" s="28">
        <v>87</v>
      </c>
      <c r="G32" s="28">
        <v>154</v>
      </c>
      <c r="H32" s="29">
        <v>307</v>
      </c>
    </row>
    <row r="33" spans="3:8" x14ac:dyDescent="0.3">
      <c r="C33" t="s">
        <v>41</v>
      </c>
      <c r="D33" s="27">
        <v>18</v>
      </c>
      <c r="E33" s="28">
        <v>42</v>
      </c>
      <c r="F33" s="28">
        <v>100</v>
      </c>
      <c r="G33" s="28">
        <v>180</v>
      </c>
      <c r="H33" s="29">
        <v>350</v>
      </c>
    </row>
    <row r="34" spans="3:8" x14ac:dyDescent="0.3">
      <c r="C34" t="s">
        <v>42</v>
      </c>
      <c r="D34" s="27">
        <v>42</v>
      </c>
      <c r="E34" s="28">
        <v>85</v>
      </c>
      <c r="F34" s="28">
        <v>199</v>
      </c>
      <c r="G34" s="28">
        <v>347</v>
      </c>
      <c r="H34" s="29">
        <v>675</v>
      </c>
    </row>
    <row r="35" spans="3:8" x14ac:dyDescent="0.3">
      <c r="C35" t="s">
        <v>47</v>
      </c>
      <c r="D35" s="27">
        <v>46</v>
      </c>
      <c r="E35" s="28">
        <v>91</v>
      </c>
      <c r="F35" s="28">
        <v>209</v>
      </c>
      <c r="G35" s="28">
        <v>362</v>
      </c>
      <c r="H35" s="29">
        <v>693</v>
      </c>
    </row>
    <row r="36" spans="3:8" x14ac:dyDescent="0.3">
      <c r="C36" t="s">
        <v>43</v>
      </c>
      <c r="D36" s="27">
        <v>56</v>
      </c>
      <c r="E36" s="28">
        <v>111</v>
      </c>
      <c r="F36" s="28">
        <v>252</v>
      </c>
      <c r="G36" s="28">
        <v>429</v>
      </c>
      <c r="H36" s="29">
        <v>812</v>
      </c>
    </row>
    <row r="37" spans="3:8" x14ac:dyDescent="0.3">
      <c r="C37" t="s">
        <v>44</v>
      </c>
      <c r="D37" s="30">
        <v>81</v>
      </c>
      <c r="E37" s="31">
        <v>157</v>
      </c>
      <c r="F37" s="31">
        <v>358</v>
      </c>
      <c r="G37" s="31">
        <v>600</v>
      </c>
      <c r="H37" s="32">
        <v>1143</v>
      </c>
    </row>
    <row r="39" spans="3:8" x14ac:dyDescent="0.3">
      <c r="C39" s="21" t="s">
        <v>48</v>
      </c>
    </row>
    <row r="40" spans="3:8" x14ac:dyDescent="0.3">
      <c r="C40" t="s">
        <v>46</v>
      </c>
      <c r="D40" s="24">
        <v>-2</v>
      </c>
      <c r="E40" s="25">
        <v>-2</v>
      </c>
      <c r="F40" s="25">
        <v>-3</v>
      </c>
      <c r="G40" s="25">
        <v>-1</v>
      </c>
      <c r="H40" s="26">
        <v>0</v>
      </c>
    </row>
    <row r="41" spans="3:8" x14ac:dyDescent="0.3">
      <c r="C41" t="s">
        <v>45</v>
      </c>
      <c r="D41" s="27">
        <v>-3</v>
      </c>
      <c r="E41" s="28">
        <v>-3</v>
      </c>
      <c r="F41" s="28">
        <v>-3</v>
      </c>
      <c r="G41" s="28">
        <v>1</v>
      </c>
      <c r="H41" s="29">
        <v>2</v>
      </c>
    </row>
    <row r="42" spans="3:8" x14ac:dyDescent="0.3">
      <c r="C42" t="s">
        <v>41</v>
      </c>
      <c r="D42" s="27">
        <v>-3</v>
      </c>
      <c r="E42" s="28">
        <v>-4</v>
      </c>
      <c r="F42" s="28">
        <v>-1</v>
      </c>
      <c r="G42" s="28">
        <v>5</v>
      </c>
      <c r="H42" s="29">
        <v>7</v>
      </c>
    </row>
    <row r="43" spans="3:8" x14ac:dyDescent="0.3">
      <c r="C43" t="s">
        <v>42</v>
      </c>
      <c r="D43" s="27">
        <v>1</v>
      </c>
      <c r="E43" s="28">
        <v>2</v>
      </c>
      <c r="F43" s="28">
        <v>8</v>
      </c>
      <c r="G43" s="28">
        <v>14</v>
      </c>
      <c r="H43" s="29">
        <v>31</v>
      </c>
    </row>
    <row r="44" spans="3:8" x14ac:dyDescent="0.3">
      <c r="C44" t="s">
        <v>47</v>
      </c>
      <c r="D44" s="27">
        <v>3</v>
      </c>
      <c r="E44" s="28">
        <v>6</v>
      </c>
      <c r="F44" s="28">
        <v>16</v>
      </c>
      <c r="G44" s="28">
        <v>26</v>
      </c>
      <c r="H44" s="29">
        <v>51</v>
      </c>
    </row>
    <row r="45" spans="3:8" x14ac:dyDescent="0.3">
      <c r="C45" t="s">
        <v>43</v>
      </c>
      <c r="D45" s="27">
        <v>6</v>
      </c>
      <c r="E45" s="28">
        <v>11</v>
      </c>
      <c r="F45" s="28">
        <v>31</v>
      </c>
      <c r="G45" s="28">
        <v>46</v>
      </c>
      <c r="H45" s="29">
        <v>89</v>
      </c>
    </row>
    <row r="46" spans="3:8" x14ac:dyDescent="0.3">
      <c r="C46" t="s">
        <v>44</v>
      </c>
      <c r="D46" s="30">
        <v>7</v>
      </c>
      <c r="E46" s="31">
        <v>13</v>
      </c>
      <c r="F46" s="31">
        <v>43</v>
      </c>
      <c r="G46" s="31">
        <v>70</v>
      </c>
      <c r="H46" s="32">
        <v>152</v>
      </c>
    </row>
    <row r="48" spans="3:8" x14ac:dyDescent="0.3">
      <c r="C48" s="21" t="s">
        <v>49</v>
      </c>
    </row>
    <row r="49" spans="3:8" x14ac:dyDescent="0.3">
      <c r="C49" t="s">
        <v>51</v>
      </c>
      <c r="D49" s="42">
        <f>D31/2+D40/2</f>
        <v>4</v>
      </c>
      <c r="E49" s="43">
        <f t="shared" ref="E49:H49" si="2">E31/2+E40/2</f>
        <v>12</v>
      </c>
      <c r="F49" s="43">
        <f t="shared" si="2"/>
        <v>35</v>
      </c>
      <c r="G49" s="43">
        <f t="shared" si="2"/>
        <v>62.5</v>
      </c>
      <c r="H49" s="44">
        <f t="shared" si="2"/>
        <v>126.5</v>
      </c>
    </row>
    <row r="50" spans="3:8" x14ac:dyDescent="0.3">
      <c r="C50" t="s">
        <v>52</v>
      </c>
      <c r="D50" s="45">
        <f t="shared" ref="D50:H50" si="3">D32/2+D41/2</f>
        <v>5</v>
      </c>
      <c r="E50" s="46">
        <f t="shared" si="3"/>
        <v>15.5</v>
      </c>
      <c r="F50" s="46">
        <f t="shared" si="3"/>
        <v>42</v>
      </c>
      <c r="G50" s="46">
        <f t="shared" si="3"/>
        <v>77.5</v>
      </c>
      <c r="H50" s="47">
        <f t="shared" si="3"/>
        <v>154.5</v>
      </c>
    </row>
    <row r="51" spans="3:8" x14ac:dyDescent="0.3">
      <c r="C51" t="s">
        <v>53</v>
      </c>
      <c r="D51" s="45">
        <f t="shared" ref="D51:H51" si="4">D33/2+D42/2</f>
        <v>7.5</v>
      </c>
      <c r="E51" s="46">
        <f t="shared" si="4"/>
        <v>19</v>
      </c>
      <c r="F51" s="46">
        <f t="shared" si="4"/>
        <v>49.5</v>
      </c>
      <c r="G51" s="46">
        <f t="shared" si="4"/>
        <v>92.5</v>
      </c>
      <c r="H51" s="47">
        <f t="shared" si="4"/>
        <v>178.5</v>
      </c>
    </row>
    <row r="52" spans="3:8" x14ac:dyDescent="0.3">
      <c r="C52" t="s">
        <v>54</v>
      </c>
      <c r="D52" s="45">
        <f t="shared" ref="D52:H52" si="5">D34/2+D43/2</f>
        <v>21.5</v>
      </c>
      <c r="E52" s="46">
        <f t="shared" si="5"/>
        <v>43.5</v>
      </c>
      <c r="F52" s="46">
        <f t="shared" si="5"/>
        <v>103.5</v>
      </c>
      <c r="G52" s="46">
        <f t="shared" si="5"/>
        <v>180.5</v>
      </c>
      <c r="H52" s="47">
        <f t="shared" si="5"/>
        <v>353</v>
      </c>
    </row>
    <row r="53" spans="3:8" x14ac:dyDescent="0.3">
      <c r="C53" t="s">
        <v>55</v>
      </c>
      <c r="D53" s="45">
        <f t="shared" ref="D53:H53" si="6">D35/2+D44/2</f>
        <v>24.5</v>
      </c>
      <c r="E53" s="46">
        <f t="shared" si="6"/>
        <v>48.5</v>
      </c>
      <c r="F53" s="46">
        <f t="shared" si="6"/>
        <v>112.5</v>
      </c>
      <c r="G53" s="46">
        <f t="shared" si="6"/>
        <v>194</v>
      </c>
      <c r="H53" s="47">
        <f t="shared" si="6"/>
        <v>372</v>
      </c>
    </row>
    <row r="54" spans="3:8" x14ac:dyDescent="0.3">
      <c r="C54" t="s">
        <v>56</v>
      </c>
      <c r="D54" s="45">
        <f t="shared" ref="D54:H54" si="7">D36/2+D45/2</f>
        <v>31</v>
      </c>
      <c r="E54" s="46">
        <f t="shared" si="7"/>
        <v>61</v>
      </c>
      <c r="F54" s="46">
        <f t="shared" si="7"/>
        <v>141.5</v>
      </c>
      <c r="G54" s="46">
        <f t="shared" si="7"/>
        <v>237.5</v>
      </c>
      <c r="H54" s="47">
        <f t="shared" si="7"/>
        <v>450.5</v>
      </c>
    </row>
    <row r="55" spans="3:8" x14ac:dyDescent="0.3">
      <c r="C55" t="s">
        <v>57</v>
      </c>
      <c r="D55" s="48">
        <f t="shared" ref="D55:H55" si="8">D37/2+D46/2</f>
        <v>44</v>
      </c>
      <c r="E55" s="49">
        <f t="shared" si="8"/>
        <v>85</v>
      </c>
      <c r="F55" s="49">
        <f t="shared" si="8"/>
        <v>200.5</v>
      </c>
      <c r="G55" s="49">
        <f t="shared" si="8"/>
        <v>335</v>
      </c>
      <c r="H55" s="50">
        <f t="shared" si="8"/>
        <v>647.5</v>
      </c>
    </row>
    <row r="57" spans="3:8" x14ac:dyDescent="0.3">
      <c r="C57" s="21" t="s">
        <v>50</v>
      </c>
    </row>
    <row r="58" spans="3:8" x14ac:dyDescent="0.3">
      <c r="C58" t="s">
        <v>58</v>
      </c>
      <c r="D58" s="42">
        <f>D31/2-D40/2</f>
        <v>6</v>
      </c>
      <c r="E58" s="43">
        <f t="shared" ref="E58:H58" si="9">E31/2-E40/2</f>
        <v>14</v>
      </c>
      <c r="F58" s="43">
        <f t="shared" si="9"/>
        <v>38</v>
      </c>
      <c r="G58" s="43">
        <f t="shared" si="9"/>
        <v>63.5</v>
      </c>
      <c r="H58" s="44">
        <f t="shared" si="9"/>
        <v>126.5</v>
      </c>
    </row>
    <row r="59" spans="3:8" x14ac:dyDescent="0.3">
      <c r="C59" t="s">
        <v>59</v>
      </c>
      <c r="D59" s="45">
        <f t="shared" ref="D59:H59" si="10">D32/2-D41/2</f>
        <v>8</v>
      </c>
      <c r="E59" s="46">
        <f t="shared" si="10"/>
        <v>18.5</v>
      </c>
      <c r="F59" s="46">
        <f t="shared" si="10"/>
        <v>45</v>
      </c>
      <c r="G59" s="46">
        <f t="shared" si="10"/>
        <v>76.5</v>
      </c>
      <c r="H59" s="47">
        <f t="shared" si="10"/>
        <v>152.5</v>
      </c>
    </row>
    <row r="60" spans="3:8" x14ac:dyDescent="0.3">
      <c r="C60" t="s">
        <v>60</v>
      </c>
      <c r="D60" s="45">
        <f t="shared" ref="D60:H60" si="11">D33/2-D42/2</f>
        <v>10.5</v>
      </c>
      <c r="E60" s="46">
        <f t="shared" si="11"/>
        <v>23</v>
      </c>
      <c r="F60" s="46">
        <f t="shared" si="11"/>
        <v>50.5</v>
      </c>
      <c r="G60" s="46">
        <f t="shared" si="11"/>
        <v>87.5</v>
      </c>
      <c r="H60" s="47">
        <f t="shared" si="11"/>
        <v>171.5</v>
      </c>
    </row>
    <row r="61" spans="3:8" x14ac:dyDescent="0.3">
      <c r="C61" t="s">
        <v>61</v>
      </c>
      <c r="D61" s="45">
        <f t="shared" ref="D61:H61" si="12">D34/2-D43/2</f>
        <v>20.5</v>
      </c>
      <c r="E61" s="46">
        <f t="shared" si="12"/>
        <v>41.5</v>
      </c>
      <c r="F61" s="46">
        <f t="shared" si="12"/>
        <v>95.5</v>
      </c>
      <c r="G61" s="46">
        <f t="shared" si="12"/>
        <v>166.5</v>
      </c>
      <c r="H61" s="47">
        <f t="shared" si="12"/>
        <v>322</v>
      </c>
    </row>
    <row r="62" spans="3:8" x14ac:dyDescent="0.3">
      <c r="C62" t="s">
        <v>62</v>
      </c>
      <c r="D62" s="45">
        <f t="shared" ref="D62:H62" si="13">D35/2-D44/2</f>
        <v>21.5</v>
      </c>
      <c r="E62" s="46">
        <f t="shared" si="13"/>
        <v>42.5</v>
      </c>
      <c r="F62" s="46">
        <f t="shared" si="13"/>
        <v>96.5</v>
      </c>
      <c r="G62" s="46">
        <f t="shared" si="13"/>
        <v>168</v>
      </c>
      <c r="H62" s="47">
        <f t="shared" si="13"/>
        <v>321</v>
      </c>
    </row>
    <row r="63" spans="3:8" x14ac:dyDescent="0.3">
      <c r="C63" t="s">
        <v>63</v>
      </c>
      <c r="D63" s="45">
        <f t="shared" ref="D63:H63" si="14">D36/2-D45/2</f>
        <v>25</v>
      </c>
      <c r="E63" s="46">
        <f t="shared" si="14"/>
        <v>50</v>
      </c>
      <c r="F63" s="46">
        <f t="shared" si="14"/>
        <v>110.5</v>
      </c>
      <c r="G63" s="46">
        <f t="shared" si="14"/>
        <v>191.5</v>
      </c>
      <c r="H63" s="47">
        <f t="shared" si="14"/>
        <v>361.5</v>
      </c>
    </row>
    <row r="64" spans="3:8" x14ac:dyDescent="0.3">
      <c r="C64" t="s">
        <v>64</v>
      </c>
      <c r="D64" s="48">
        <f t="shared" ref="D64:H64" si="15">D37/2-D46/2</f>
        <v>37</v>
      </c>
      <c r="E64" s="49">
        <f t="shared" si="15"/>
        <v>72</v>
      </c>
      <c r="F64" s="49">
        <f t="shared" si="15"/>
        <v>157.5</v>
      </c>
      <c r="G64" s="49">
        <f t="shared" si="15"/>
        <v>265</v>
      </c>
      <c r="H64" s="50">
        <f t="shared" si="15"/>
        <v>495.5</v>
      </c>
    </row>
  </sheetData>
  <conditionalFormatting sqref="L40:O46 L53:O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Example- Norm SABR 1Y10Y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Chan</cp:lastModifiedBy>
  <dcterms:created xsi:type="dcterms:W3CDTF">2026-01-19T21:58:03Z</dcterms:created>
  <dcterms:modified xsi:type="dcterms:W3CDTF">2026-02-12T15:00:08Z</dcterms:modified>
</cp:coreProperties>
</file>